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firstSheet="5" activeTab="6"/>
  </bookViews>
  <sheets>
    <sheet name="emp_data" sheetId="1" r:id="rId1"/>
    <sheet name="Average Salary by Department" sheetId="2" r:id="rId2"/>
    <sheet name=" Average Performance by Depar" sheetId="3" r:id="rId3"/>
    <sheet name="Name vs Salary" sheetId="4" r:id="rId4"/>
    <sheet name="Name vs Performance" sheetId="5" r:id="rId5"/>
    <sheet name="Department Distribution" sheetId="6" r:id="rId6"/>
    <sheet name="Dashboard" sheetId="7" r:id="rId7"/>
  </sheets>
  <definedNames>
    <definedName name="Slicer_Department">#N/A</definedName>
    <definedName name="Slicer_Name2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<sst xmlns="http://schemas.openxmlformats.org/spreadsheetml/2006/main" count="65" uniqueCount="32">
  <si>
    <t>Emp ID</t>
  </si>
  <si>
    <t>Name</t>
  </si>
  <si>
    <t>Department</t>
  </si>
  <si>
    <t>Salary</t>
  </si>
  <si>
    <t>Years Experience</t>
  </si>
  <si>
    <t xml:space="preserve"> Performance Score </t>
  </si>
  <si>
    <t>Performance Score</t>
  </si>
  <si>
    <t>Ali</t>
  </si>
  <si>
    <t>IT</t>
  </si>
  <si>
    <t>Nour</t>
  </si>
  <si>
    <t>HR</t>
  </si>
  <si>
    <t>Hana</t>
  </si>
  <si>
    <t>Finance</t>
  </si>
  <si>
    <t>Kareem</t>
  </si>
  <si>
    <t>Dina</t>
  </si>
  <si>
    <t>Marketing</t>
  </si>
  <si>
    <t>Average of Salary</t>
  </si>
  <si>
    <t>Grand Total</t>
  </si>
  <si>
    <t xml:space="preserve">Average of  Performance Score </t>
  </si>
  <si>
    <t>Sum of Salary</t>
  </si>
  <si>
    <t xml:space="preserve">Sum of  Performance Score </t>
  </si>
  <si>
    <t>Count of Department</t>
  </si>
  <si>
    <t>Dashboard</t>
  </si>
  <si>
    <t>Average of salary</t>
  </si>
  <si>
    <t>Max of salary</t>
  </si>
  <si>
    <t>Min of salary</t>
  </si>
  <si>
    <t>salary score</t>
  </si>
  <si>
    <t>Median of salary</t>
  </si>
  <si>
    <t>Average of performance</t>
  </si>
  <si>
    <t>Max of performance</t>
  </si>
  <si>
    <t>Min of prformance</t>
  </si>
  <si>
    <t>Median of performance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</si>
</sst>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_ * #,##0_ ;_ * \-#,##0_ ;_ * &quot;-&quot;??_ ;_ @_ "/>
  </numFmts>
  <fonts count="25">
    <font>
      <sz val="11"/>
      <color theme="1"/>
      <name val="Calibri"/>
      <charset val="134"/>
      <scheme val="minor"/>
    </font>
    <font>
      <b/>
      <i/>
      <u/>
      <sz val="20"/>
      <color theme="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9" fontId="3" fillId="0" borderId="1" xfId="3" applyFont="1" applyBorder="1">
      <alignment vertical="center"/>
    </xf>
    <xf numFmtId="0" fontId="3" fillId="0" borderId="1" xfId="0" applyFont="1" applyBorder="1" applyAlignment="1">
      <alignment horizontal="right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0" xfId="3" applyNumberFormat="1">
      <alignment vertical="center"/>
    </xf>
    <xf numFmtId="178" fontId="0" fillId="0" borderId="0" xfId="0" applyNumberFormat="1">
      <alignment vertical="center"/>
    </xf>
    <xf numFmtId="6" fontId="0" fillId="0" borderId="0" xfId="0" applyNumberFormat="1">
      <alignment vertical="center"/>
    </xf>
    <xf numFmtId="179" fontId="0" fillId="0" borderId="0" xfId="1" applyNumberFormat="1">
      <alignment vertical="center"/>
    </xf>
    <xf numFmtId="9" fontId="0" fillId="0" borderId="0" xfId="3">
      <alignment vertical="center"/>
    </xf>
    <xf numFmtId="0" fontId="4" fillId="2" borderId="1" xfId="0" applyFont="1" applyFill="1" applyBorder="1" applyAlignment="1"/>
    <xf numFmtId="6" fontId="4" fillId="2" borderId="1" xfId="0" applyNumberFormat="1" applyFont="1" applyFill="1" applyBorder="1" applyAlignment="1"/>
    <xf numFmtId="179" fontId="4" fillId="2" borderId="1" xfId="1" applyNumberFormat="1" applyFont="1" applyFill="1" applyBorder="1" applyAlignment="1"/>
    <xf numFmtId="9" fontId="4" fillId="2" borderId="1" xfId="3" applyFont="1" applyFill="1" applyBorder="1" applyAlignment="1"/>
    <xf numFmtId="0" fontId="4" fillId="0" borderId="0" xfId="0" applyFont="1" applyFill="1">
      <alignment vertical="center"/>
    </xf>
    <xf numFmtId="0" fontId="5" fillId="0" borderId="1" xfId="0" applyFont="1" applyFill="1" applyBorder="1" applyAlignment="1"/>
    <xf numFmtId="6" fontId="5" fillId="0" borderId="1" xfId="0" applyNumberFormat="1" applyFont="1" applyFill="1" applyBorder="1" applyAlignment="1"/>
    <xf numFmtId="179" fontId="5" fillId="0" borderId="1" xfId="1" applyNumberFormat="1" applyFont="1" applyFill="1" applyBorder="1" applyAlignment="1"/>
    <xf numFmtId="9" fontId="5" fillId="0" borderId="1" xfId="3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numFmt numFmtId="180" formatCode="0.0%"/>
    </dxf>
    <dxf>
      <numFmt numFmtId="181" formatCode="0.0%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2" formatCode="0.00_);[Red]\(0.00\)"/>
    </dxf>
    <dxf>
      <numFmt numFmtId="183" formatCode="0.00_);[Red]\(0.00\)"/>
    </dxf>
    <dxf>
      <numFmt numFmtId="184" formatCode="0.0_);[Red]\(0.0\)"/>
    </dxf>
    <dxf>
      <numFmt numFmtId="185" formatCode="0.0_);[Red]\(0.0\)"/>
    </dxf>
    <dxf>
      <numFmt numFmtId="178" formatCode="0_);[Red]\(0\)"/>
    </dxf>
    <dxf>
      <numFmt numFmtId="178" formatCode="0_);[Red]\(0\)"/>
    </dxf>
    <dxf>
      <numFmt numFmtId="186" formatCode="0.0%"/>
    </dxf>
    <dxf>
      <numFmt numFmtId="9" formatCode="0%"/>
    </dxf>
    <dxf>
      <numFmt numFmtId="187" formatCode="0.0%"/>
    </dxf>
    <dxf>
      <numFmt numFmtId="188" formatCode="0.0%"/>
    </dxf>
    <dxf>
      <numFmt numFmtId="189" formatCode="0.0%"/>
    </dxf>
    <dxf>
      <numFmt numFmtId="190" formatCode="0.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numFmt numFmtId="6" formatCode="&quot;$&quot;#,##0_);[Red]\(&quot;$&quot;#,##0\)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minor"/>
        <charset val="134"/>
        <family val="0"/>
        <b val="0"/>
        <i val="0"/>
        <strike val="0"/>
        <u val="none"/>
        <sz val="14"/>
        <color theme="1"/>
      </font>
      <numFmt numFmtId="179" formatCode="_ * #,##0_ ;_ * \-#,##0_ ;_ * &quot;-&quot;??_ ;_ @_ 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4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[Workbook3.xlsx]Average Salary by Department!Average Salary by Department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Average Salary by Department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'Average Salary by Department'!$B$1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'Average Salary by Department'!$B$2:$B$6</c:f>
              <c:numCache>
                <c:formatCode>0_);[Red]\(0\)</c:formatCode>
                <c:ptCount val="4"/>
                <c:pt idx="0">
                  <c:v>15000</c:v>
                </c:pt>
                <c:pt idx="1">
                  <c:v>9000</c:v>
                </c:pt>
                <c:pt idx="2">
                  <c:v>11500</c:v>
                </c:pt>
                <c:pt idx="3">
                  <c:v>10000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 Average Performance by Depar!2. Average Performance by Department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2. Average Performance by Department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 Average Performance by Depar'!$B$1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Average Performance by Depar'!$A$2:$A$6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 Average Performance by Depar'!$B$2:$B$6</c:f>
              <c:numCache>
                <c:formatCode>General</c:formatCode>
                <c:ptCount val="4"/>
                <c:pt idx="0">
                  <c:v>92</c:v>
                </c:pt>
                <c:pt idx="1">
                  <c:v>88</c:v>
                </c:pt>
                <c:pt idx="2">
                  <c:v>77.5</c:v>
                </c:pt>
                <c:pt idx="3">
                  <c:v>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[Workbook3.xlsx]Name vs Salary!Name vs Salary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Name vs Salary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'Name vs Salary'!$B$2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'Name vs Salary'!$A$3:$A$8</c:f>
              <c:strCache>
                <c:ptCount val="5"/>
                <c:pt idx="0">
                  <c:v>Ali</c:v>
                </c:pt>
                <c:pt idx="1">
                  <c:v>Dina</c:v>
                </c:pt>
                <c:pt idx="2">
                  <c:v>Hana</c:v>
                </c:pt>
                <c:pt idx="3">
                  <c:v>Kareem</c:v>
                </c:pt>
                <c:pt idx="4">
                  <c:v>Nour</c:v>
                </c:pt>
              </c:strCache>
            </c:strRef>
          </c:cat>
          <c:val>
            <c:numRef>
              <c:f>'Name vs Salary'!$B$3:$B$8</c:f>
              <c:numCache>
                <c:formatCode>General</c:formatCode>
                <c:ptCount val="5"/>
                <c:pt idx="0">
                  <c:v>12000</c:v>
                </c:pt>
                <c:pt idx="1">
                  <c:v>10000</c:v>
                </c:pt>
                <c:pt idx="2">
                  <c:v>15000</c:v>
                </c:pt>
                <c:pt idx="3">
                  <c:v>11000</c:v>
                </c:pt>
                <c:pt idx="4">
                  <c:v>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168749888"/>
        <c:axId val="535061828"/>
      </c:barChart>
      <c:catAx>
        <c:axId val="1687498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061828"/>
        <c:crosses val="autoZero"/>
        <c:auto val="1"/>
        <c:lblAlgn val="ctr"/>
        <c:lblOffset val="100"/>
        <c:noMultiLvlLbl val="0"/>
      </c:catAx>
      <c:valAx>
        <c:axId val="5350618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74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[Workbook3.xlsx]Name vs Performance!Name vs Performance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Name vs Performance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'Name vs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'Name vs Performance'!$A$2:$A$7</c:f>
              <c:strCache>
                <c:ptCount val="5"/>
                <c:pt idx="0">
                  <c:v>Ali</c:v>
                </c:pt>
                <c:pt idx="1">
                  <c:v>Dina</c:v>
                </c:pt>
                <c:pt idx="2">
                  <c:v>Hana</c:v>
                </c:pt>
                <c:pt idx="3">
                  <c:v>Kareem</c:v>
                </c:pt>
                <c:pt idx="4">
                  <c:v>Nour</c:v>
                </c:pt>
              </c:strCache>
            </c:strRef>
          </c:cat>
          <c:val>
            <c:numRef>
              <c:f>'Name vs Performance'!$B$2:$B$7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92</c:v>
                </c:pt>
                <c:pt idx="3">
                  <c:v>75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0"/>
        <c:axId val="602091345"/>
        <c:axId val="146985963"/>
      </c:barChart>
      <c:catAx>
        <c:axId val="60209134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985963"/>
        <c:crosses val="autoZero"/>
        <c:auto val="1"/>
        <c:lblAlgn val="ctr"/>
        <c:lblOffset val="100"/>
        <c:noMultiLvlLbl val="0"/>
      </c:catAx>
      <c:valAx>
        <c:axId val="1469859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0913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[Workbook3.xlsx]Department Distribution!Department Distribution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Department Distribution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'Department Distribution'!$B$1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Distribution'!$A$2:$A$6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'Department Distribution'!$B$2:$B$6</c:f>
              <c:numCache>
                <c:formatCode>0%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[Workbook3.xlsx]Department Distribution!Department Distribution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Department Distribution</a:t>
            </a:r>
            <a:endParaRPr sz="1600" b="1" i="1"/>
          </a:p>
        </c:rich>
      </c:tx>
      <c:layout>
        <c:manualLayout>
          <c:xMode val="edge"/>
          <c:yMode val="edge"/>
          <c:x val="0.280394736842105"/>
          <c:y val="0.1208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'Department Distribution'!$B$1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Distribution'!$A$2:$A$6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'Department Distribution'!$B$2:$B$6</c:f>
              <c:numCache>
                <c:formatCode>0%</c:formatCode>
                <c:ptCount val="4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43cd89-12dc-47c9-9a99-6bfd60c5ad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[Workbook3.xlsx]Name vs Performance!Name vs Performance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Name vs Performance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'Name vs Performance'!$B$1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'Name vs Performance'!$A$2:$A$7</c:f>
              <c:strCache>
                <c:ptCount val="5"/>
                <c:pt idx="0">
                  <c:v>Ali</c:v>
                </c:pt>
                <c:pt idx="1">
                  <c:v>Dina</c:v>
                </c:pt>
                <c:pt idx="2">
                  <c:v>Hana</c:v>
                </c:pt>
                <c:pt idx="3">
                  <c:v>Kareem</c:v>
                </c:pt>
                <c:pt idx="4">
                  <c:v>Nour</c:v>
                </c:pt>
              </c:strCache>
            </c:strRef>
          </c:cat>
          <c:val>
            <c:numRef>
              <c:f>'Name vs Performance'!$B$2:$B$7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92</c:v>
                </c:pt>
                <c:pt idx="3">
                  <c:v>75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0"/>
        <c:axId val="602091345"/>
        <c:axId val="146985963"/>
      </c:barChart>
      <c:catAx>
        <c:axId val="60209134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985963"/>
        <c:crosses val="autoZero"/>
        <c:auto val="1"/>
        <c:lblAlgn val="ctr"/>
        <c:lblOffset val="100"/>
        <c:noMultiLvlLbl val="0"/>
      </c:catAx>
      <c:valAx>
        <c:axId val="1469859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0913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d1f730-897e-48bd-b425-27f4e08515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[Workbook3.xlsx]Name vs Salary!Name vs Salary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Name vs Salary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'Name vs Salary'!$B$2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'Name vs Salary'!$A$3:$A$8</c:f>
              <c:strCache>
                <c:ptCount val="5"/>
                <c:pt idx="0">
                  <c:v>Ali</c:v>
                </c:pt>
                <c:pt idx="1">
                  <c:v>Dina</c:v>
                </c:pt>
                <c:pt idx="2">
                  <c:v>Hana</c:v>
                </c:pt>
                <c:pt idx="3">
                  <c:v>Kareem</c:v>
                </c:pt>
                <c:pt idx="4">
                  <c:v>Nour</c:v>
                </c:pt>
              </c:strCache>
            </c:strRef>
          </c:cat>
          <c:val>
            <c:numRef>
              <c:f>'Name vs Salary'!$B$3:$B$8</c:f>
              <c:numCache>
                <c:formatCode>General</c:formatCode>
                <c:ptCount val="5"/>
                <c:pt idx="0">
                  <c:v>12000</c:v>
                </c:pt>
                <c:pt idx="1">
                  <c:v>10000</c:v>
                </c:pt>
                <c:pt idx="2">
                  <c:v>15000</c:v>
                </c:pt>
                <c:pt idx="3">
                  <c:v>11000</c:v>
                </c:pt>
                <c:pt idx="4">
                  <c:v>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168749888"/>
        <c:axId val="535061828"/>
      </c:barChart>
      <c:catAx>
        <c:axId val="1687498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061828"/>
        <c:crosses val="autoZero"/>
        <c:auto val="1"/>
        <c:lblAlgn val="ctr"/>
        <c:lblOffset val="100"/>
        <c:noMultiLvlLbl val="0"/>
      </c:catAx>
      <c:valAx>
        <c:axId val="5350618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74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b6baff-1f0d-418d-bd1f-56da0a489b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 Average Performance by Depar!2. Average Performance by Department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2. Average Performance by Department</a:t>
            </a:r>
            <a:endParaRPr sz="1600" b="1" i="1"/>
          </a:p>
        </c:rich>
      </c:tx>
      <c:layout>
        <c:manualLayout>
          <c:xMode val="edge"/>
          <c:yMode val="edge"/>
          <c:x val="0.148815789473684"/>
          <c:y val="0.11736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 Average Performance by Depar'!$B$1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Average Performance by Depar'!$A$2:$A$6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 Average Performance by Depar'!$B$2:$B$6</c:f>
              <c:numCache>
                <c:formatCode>General</c:formatCode>
                <c:ptCount val="4"/>
                <c:pt idx="0">
                  <c:v>92</c:v>
                </c:pt>
                <c:pt idx="1">
                  <c:v>88</c:v>
                </c:pt>
                <c:pt idx="2">
                  <c:v>77.5</c:v>
                </c:pt>
                <c:pt idx="3">
                  <c:v>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06b0fd-e81f-4024-801f-aadbe3ff7a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[Workbook3.xlsx]Average Salary by Department!Average Salary by Department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 b="1" i="1"/>
              <a:t>Average Salary by Department</a:t>
            </a:r>
            <a:endParaRPr sz="1600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'Average Salary by Department'!$B$1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'Average Salary by Department'!$B$2:$B$6</c:f>
              <c:numCache>
                <c:formatCode>0_);[Red]\(0\)</c:formatCode>
                <c:ptCount val="4"/>
                <c:pt idx="0">
                  <c:v>15000</c:v>
                </c:pt>
                <c:pt idx="1">
                  <c:v>9000</c:v>
                </c:pt>
                <c:pt idx="2">
                  <c:v>11500</c:v>
                </c:pt>
                <c:pt idx="3">
                  <c:v>10000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376158-3fb1-45ee-8e68-e58e109eeb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577850</xdr:colOff>
      <xdr:row>0</xdr:row>
      <xdr:rowOff>60325</xdr:rowOff>
    </xdr:from>
    <xdr:to>
      <xdr:col>12</xdr:col>
      <xdr:colOff>527050</xdr:colOff>
      <xdr:row>14</xdr:row>
      <xdr:rowOff>136525</xdr:rowOff>
    </xdr:to>
    <xdr:graphicFrame>
      <xdr:nvGraphicFramePr>
        <xdr:cNvPr id="2" name="Chart 1"/>
        <xdr:cNvGraphicFramePr/>
      </xdr:nvGraphicFramePr>
      <xdr:xfrm>
        <a:off x="3949700" y="60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1177925</xdr:colOff>
      <xdr:row>0</xdr:row>
      <xdr:rowOff>635</xdr:rowOff>
    </xdr:from>
    <xdr:to>
      <xdr:col>4</xdr:col>
      <xdr:colOff>606425</xdr:colOff>
      <xdr:row>12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947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53975</xdr:colOff>
      <xdr:row>0</xdr:row>
      <xdr:rowOff>635</xdr:rowOff>
    </xdr:from>
    <xdr:to>
      <xdr:col>13</xdr:col>
      <xdr:colOff>3175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49593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3175</xdr:colOff>
      <xdr:row>0</xdr:row>
      <xdr:rowOff>22225</xdr:rowOff>
    </xdr:from>
    <xdr:to>
      <xdr:col>5</xdr:col>
      <xdr:colOff>3175</xdr:colOff>
      <xdr:row>12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9750" y="222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584200</xdr:colOff>
      <xdr:row>0</xdr:row>
      <xdr:rowOff>19050</xdr:rowOff>
    </xdr:from>
    <xdr:to>
      <xdr:col>13</xdr:col>
      <xdr:colOff>533400</xdr:colOff>
      <xdr:row>14</xdr:row>
      <xdr:rowOff>95250</xdr:rowOff>
    </xdr:to>
    <xdr:graphicFrame>
      <xdr:nvGraphicFramePr>
        <xdr:cNvPr id="2" name="Chart 1"/>
        <xdr:cNvGraphicFramePr/>
      </xdr:nvGraphicFramePr>
      <xdr:xfrm>
        <a:off x="4146550" y="19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311150</xdr:colOff>
      <xdr:row>0</xdr:row>
      <xdr:rowOff>12700</xdr:rowOff>
    </xdr:from>
    <xdr:to>
      <xdr:col>5</xdr:col>
      <xdr:colOff>311150</xdr:colOff>
      <xdr:row>12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4700" y="12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25400</xdr:colOff>
      <xdr:row>0</xdr:row>
      <xdr:rowOff>635</xdr:rowOff>
    </xdr:from>
    <xdr:to>
      <xdr:col>13</xdr:col>
      <xdr:colOff>584200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5121275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444500</xdr:colOff>
      <xdr:row>0</xdr:row>
      <xdr:rowOff>136525</xdr:rowOff>
    </xdr:from>
    <xdr:to>
      <xdr:col>5</xdr:col>
      <xdr:colOff>444500</xdr:colOff>
      <xdr:row>13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Nam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1975" y="136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25400</xdr:colOff>
      <xdr:row>0</xdr:row>
      <xdr:rowOff>635</xdr:rowOff>
    </xdr:from>
    <xdr:to>
      <xdr:col>13</xdr:col>
      <xdr:colOff>584200</xdr:colOff>
      <xdr:row>14</xdr:row>
      <xdr:rowOff>76835</xdr:rowOff>
    </xdr:to>
    <xdr:graphicFrame>
      <xdr:nvGraphicFramePr>
        <xdr:cNvPr id="2" name="Chart 1"/>
        <xdr:cNvGraphicFramePr/>
      </xdr:nvGraphicFramePr>
      <xdr:xfrm>
        <a:off x="4873625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530225</xdr:colOff>
      <xdr:row>0</xdr:row>
      <xdr:rowOff>50800</xdr:rowOff>
    </xdr:from>
    <xdr:to>
      <xdr:col>5</xdr:col>
      <xdr:colOff>530225</xdr:colOff>
      <xdr:row>12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0050" y="50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257175</xdr:colOff>
      <xdr:row>1</xdr:row>
      <xdr:rowOff>152400</xdr:rowOff>
    </xdr:from>
    <xdr:to>
      <xdr:col>13</xdr:col>
      <xdr:colOff>6350</xdr:colOff>
      <xdr:row>10</xdr:row>
      <xdr:rowOff>161290</xdr:rowOff>
    </xdr:to>
    <xdr:graphicFrame>
      <xdr:nvGraphicFramePr>
        <xdr:cNvPr id="2" name="Chart 1"/>
        <xdr:cNvGraphicFramePr/>
      </xdr:nvGraphicFramePr>
      <xdr:xfrm>
        <a:off x="11049000" y="485775"/>
        <a:ext cx="4826000" cy="2866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605790</xdr:colOff>
      <xdr:row>10</xdr:row>
      <xdr:rowOff>180340</xdr:rowOff>
    </xdr:to>
    <xdr:graphicFrame>
      <xdr:nvGraphicFramePr>
        <xdr:cNvPr id="3" name="Chart 2"/>
        <xdr:cNvGraphicFramePr/>
      </xdr:nvGraphicFramePr>
      <xdr:xfrm>
        <a:off x="17087850" y="523875"/>
        <a:ext cx="4872990" cy="2847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12</xdr:row>
      <xdr:rowOff>9525</xdr:rowOff>
    </xdr:from>
    <xdr:to>
      <xdr:col>23</xdr:col>
      <xdr:colOff>6350</xdr:colOff>
      <xdr:row>21</xdr:row>
      <xdr:rowOff>170815</xdr:rowOff>
    </xdr:to>
    <xdr:graphicFrame>
      <xdr:nvGraphicFramePr>
        <xdr:cNvPr id="4" name="Chart 3"/>
        <xdr:cNvGraphicFramePr/>
      </xdr:nvGraphicFramePr>
      <xdr:xfrm>
        <a:off x="17087850" y="3752850"/>
        <a:ext cx="4883150" cy="2847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180975</xdr:colOff>
      <xdr:row>12</xdr:row>
      <xdr:rowOff>38100</xdr:rowOff>
    </xdr:from>
    <xdr:to>
      <xdr:col>12</xdr:col>
      <xdr:colOff>606425</xdr:colOff>
      <xdr:row>21</xdr:row>
      <xdr:rowOff>171450</xdr:rowOff>
    </xdr:to>
    <xdr:graphicFrame>
      <xdr:nvGraphicFramePr>
        <xdr:cNvPr id="5" name="Chart 4"/>
        <xdr:cNvGraphicFramePr/>
      </xdr:nvGraphicFramePr>
      <xdr:xfrm>
        <a:off x="10972800" y="3781425"/>
        <a:ext cx="4892675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180975</xdr:colOff>
      <xdr:row>24</xdr:row>
      <xdr:rowOff>19050</xdr:rowOff>
    </xdr:from>
    <xdr:to>
      <xdr:col>12</xdr:col>
      <xdr:colOff>596900</xdr:colOff>
      <xdr:row>38</xdr:row>
      <xdr:rowOff>171450</xdr:rowOff>
    </xdr:to>
    <xdr:graphicFrame>
      <xdr:nvGraphicFramePr>
        <xdr:cNvPr id="6" name="Chart 5"/>
        <xdr:cNvGraphicFramePr/>
      </xdr:nvGraphicFramePr>
      <xdr:xfrm>
        <a:off x="10972800" y="7019925"/>
        <a:ext cx="488315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38100</xdr:colOff>
      <xdr:row>24</xdr:row>
      <xdr:rowOff>15875</xdr:rowOff>
    </xdr:from>
    <xdr:to>
      <xdr:col>18</xdr:col>
      <xdr:colOff>38100</xdr:colOff>
      <xdr:row>36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Departmen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25950" y="7016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57150</xdr:colOff>
      <xdr:row>24</xdr:row>
      <xdr:rowOff>31750</xdr:rowOff>
    </xdr:from>
    <xdr:to>
      <xdr:col>21</xdr:col>
      <xdr:colOff>57150</xdr:colOff>
      <xdr:row>36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Nam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73800" y="7032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8.7981712963" refreshedBy="krkr" recordCount="5">
  <cacheSource type="worksheet">
    <worksheetSource name="emp_data"/>
  </cacheSource>
  <cacheFields count="7">
    <cacheField name="Emp ID" numFmtId="0">
      <sharedItems containsSemiMixedTypes="0" containsString="0" containsNumber="1" containsInteger="1" minValue="101" maxValue="105" count="5">
        <n v="101"/>
        <n v="102"/>
        <n v="103"/>
        <n v="104"/>
        <n v="105"/>
      </sharedItems>
    </cacheField>
    <cacheField name="Name" numFmtId="0">
      <sharedItems count="5">
        <s v="Ali"/>
        <s v="Nour"/>
        <s v="Hana"/>
        <s v="Kareem"/>
        <s v="Dina"/>
      </sharedItems>
    </cacheField>
    <cacheField name="Department" numFmtId="0">
      <sharedItems count="4">
        <s v="IT"/>
        <s v="HR"/>
        <s v="Finance"/>
        <s v="Marketing"/>
      </sharedItems>
    </cacheField>
    <cacheField name="Salary" numFmtId="6">
      <sharedItems containsSemiMixedTypes="0" containsString="0" containsNumber="1" containsInteger="1" minValue="9000" maxValue="15000" count="5">
        <n v="12000"/>
        <n v="9000"/>
        <n v="15000"/>
        <n v="11000"/>
        <n v="10000"/>
      </sharedItems>
    </cacheField>
    <cacheField name="Years Experience" numFmtId="0">
      <sharedItems containsSemiMixedTypes="0" containsString="0" containsNumber="1" containsInteger="1" minValue="2" maxValue="7" count="5">
        <n v="3"/>
        <n v="5"/>
        <n v="7"/>
        <n v="2"/>
        <n v="4"/>
      </sharedItems>
    </cacheField>
    <cacheField name=" Performance Score " numFmtId="179">
      <sharedItems containsSemiMixedTypes="0" containsString="0" containsNumber="1" containsInteger="1" minValue="75" maxValue="92" count="5">
        <n v="80"/>
        <n v="88"/>
        <n v="92"/>
        <n v="75"/>
        <n v="85"/>
      </sharedItems>
    </cacheField>
    <cacheField name="Performance Score" numFmtId="9">
      <sharedItems containsSemiMixedTypes="0" containsString="0" containsNumber="1" minValue="0.75" maxValue="0.92" count="5">
        <n v="0.8"/>
        <n v="0.88"/>
        <n v="0.92"/>
        <n v="0.75"/>
        <n v="0.8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0"/>
    <x v="3"/>
    <x v="3"/>
    <x v="3"/>
    <x v="3"/>
  </r>
  <r>
    <x v="4"/>
    <x v="4"/>
    <x v="3"/>
    <x v="4"/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verage Salary by Departme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7"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4"/>
        <item x="2"/>
        <item x="3"/>
        <item x="1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dataField="1" compact="0" numFmtId="6" showAll="0">
      <items count="6">
        <item x="1"/>
        <item x="4"/>
        <item x="3"/>
        <item x="0"/>
        <item x="2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79" showAll="0">
      <items count="6">
        <item x="3"/>
        <item x="0"/>
        <item x="4"/>
        <item x="1"/>
        <item x="2"/>
        <item t="default"/>
      </items>
    </pivotField>
    <pivotField compact="0" numFmtId="9" showAll="0">
      <items count="6">
        <item x="3"/>
        <item x="0"/>
        <item x="4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3" subtotal="average" baseField="0" baseItem="0"/>
  </dataFields>
  <formats count="10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  <format dxfId="4">
      <pivotArea dataOnly="0" axis="axisValues" fieldPosition="0"/>
    </format>
    <format dxfId="5">
      <pivotArea collapsedLevelsAreSubtotals="1" fieldPosition="0"/>
    </format>
    <format dxfId="6">
      <pivotArea dataOnly="0" axis="axisValues" fieldPosition="0"/>
    </format>
    <format dxfId="7">
      <pivotArea collapsedLevelsAreSubtotals="1" fieldPosition="0"/>
    </format>
    <format dxfId="8">
      <pivotArea dataOnly="0" axis="axisValues" fieldPosition="0"/>
    </format>
    <format dxfId="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2. Average Performance by Departme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7"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4"/>
        <item x="2"/>
        <item x="3"/>
        <item x="1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numFmtId="6" showAll="0">
      <items count="6">
        <item x="1"/>
        <item x="4"/>
        <item x="3"/>
        <item x="0"/>
        <item x="2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dataField="1" compact="0" numFmtId="179" showAll="0">
      <items count="6">
        <item x="3"/>
        <item x="0"/>
        <item x="4"/>
        <item x="1"/>
        <item x="2"/>
        <item t="default"/>
      </items>
    </pivotField>
    <pivotField compact="0" numFmtId="9" showAll="0">
      <items count="6">
        <item x="3"/>
        <item x="0"/>
        <item x="4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 Performance Score 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Name vs Sala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8" firstHeaderRow="1" firstDataRow="1" firstDataCol="1"/>
  <pivotFields count="7"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4"/>
        <item x="2"/>
        <item x="3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dataField="1" compact="0" numFmtId="6" showAll="0">
      <items count="6">
        <item x="1"/>
        <item x="4"/>
        <item x="3"/>
        <item x="0"/>
        <item x="2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79" showAll="0">
      <items count="6">
        <item x="3"/>
        <item x="0"/>
        <item x="4"/>
        <item x="1"/>
        <item x="2"/>
        <item t="default"/>
      </items>
    </pivotField>
    <pivotField compact="0" numFmtId="9" showAll="0">
      <items count="6">
        <item x="3"/>
        <item x="0"/>
        <item x="4"/>
        <item x="1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Name vs Per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7"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4"/>
        <item x="2"/>
        <item x="3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numFmtId="6" showAll="0">
      <items count="6">
        <item x="1"/>
        <item x="4"/>
        <item x="3"/>
        <item x="0"/>
        <item x="2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dataField="1" compact="0" numFmtId="179" showAll="0">
      <items count="6">
        <item x="3"/>
        <item x="0"/>
        <item x="4"/>
        <item x="1"/>
        <item x="2"/>
        <item t="default"/>
      </items>
    </pivotField>
    <pivotField compact="0" numFmtId="9" showAll="0">
      <items count="6">
        <item x="3"/>
        <item x="0"/>
        <item x="4"/>
        <item x="1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Performance Score 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Department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7"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4"/>
        <item x="2"/>
        <item x="3"/>
        <item x="1"/>
        <item t="default"/>
      </items>
    </pivotField>
    <pivotField axis="axisRow" dataField="1" compact="0" showAll="0">
      <items count="5">
        <item x="2"/>
        <item x="1"/>
        <item x="0"/>
        <item x="3"/>
        <item t="default"/>
      </items>
    </pivotField>
    <pivotField compact="0" numFmtId="6" showAll="0">
      <items count="6">
        <item x="1"/>
        <item x="4"/>
        <item x="3"/>
        <item x="0"/>
        <item x="2"/>
        <item t="default"/>
      </items>
    </pivotField>
    <pivotField compact="0" showAll="0">
      <items count="6">
        <item x="3"/>
        <item x="0"/>
        <item x="4"/>
        <item x="1"/>
        <item x="2"/>
        <item t="default"/>
      </items>
    </pivotField>
    <pivotField compact="0" numFmtId="179" showAll="0">
      <items count="6">
        <item x="3"/>
        <item x="0"/>
        <item x="4"/>
        <item x="1"/>
        <item x="2"/>
        <item t="default"/>
      </items>
    </pivotField>
    <pivotField compact="0" numFmtId="9" showAll="0">
      <items count="6">
        <item x="3"/>
        <item x="0"/>
        <item x="4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epartment" fld="2" subtotal="count" showDataAs="percentOfTotal" baseField="0" baseItem="0" numFmtId="10"/>
  </dataFields>
  <formats count="10">
    <format dxfId="10">
      <pivotArea collapsedLevelsAreSubtotals="1" fieldPosition="0">
        <references count="1">
          <reference field="2" count="1" selected="0">
            <x v="2"/>
          </reference>
        </references>
      </pivotArea>
    </format>
    <format dxfId="11">
      <pivotArea collapsedLevelsAreSubtotals="1" fieldPosition="0">
        <references count="1">
          <reference field="2" count="1" selected="0">
            <x v="2"/>
          </reference>
        </references>
      </pivotArea>
    </format>
    <format dxfId="12">
      <pivotArea collapsedLevelsAreSubtotals="1" fieldPosition="0">
        <references count="1">
          <reference field="2" count="1" selected="0">
            <x v="0"/>
          </reference>
        </references>
      </pivotArea>
    </format>
    <format dxfId="13">
      <pivotArea collapsedLevelsAreSubtotals="1" fieldPosition="0">
        <references count="1">
          <reference field="2" count="1" selected="0">
            <x v="1"/>
          </reference>
        </references>
      </pivotArea>
    </format>
    <format dxfId="14">
      <pivotArea collapsedLevelsAreSubtotals="1" fieldPosition="0">
        <references count="1">
          <reference field="2" count="1" selected="0">
            <x v="2"/>
          </reference>
        </references>
      </pivotArea>
    </format>
    <format dxfId="15">
      <pivotArea collapsedLevelsAreSubtotals="1" fieldPosition="0">
        <references count="1">
          <reference field="2" count="1" selected="0">
            <x v="3"/>
          </reference>
        </references>
      </pivotArea>
    </format>
    <format dxfId="16">
      <pivotArea collapsedLevelsAreSubtotals="1" fieldPosition="0">
        <references count="1">
          <reference field="2" count="1" selected="0">
            <x v="0"/>
          </reference>
        </references>
      </pivotArea>
    </format>
    <format dxfId="17">
      <pivotArea collapsedLevelsAreSubtotals="1" fieldPosition="0">
        <references count="1">
          <reference field="2" count="1" selected="0">
            <x v="1"/>
          </reference>
        </references>
      </pivotArea>
    </format>
    <format dxfId="18">
      <pivotArea collapsedLevelsAreSubtotals="1" fieldPosition="0">
        <references count="1">
          <reference field="2" count="1" selected="0">
            <x v="2"/>
          </reference>
        </references>
      </pivotArea>
    </format>
    <format dxfId="19">
      <pivotArea collapsedLevelsAreSubtotals="1" fieldPosition="0">
        <references count="1">
          <reference field="2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ame2" sourceName="Name">
  <pivotTables>
    <pivotTable tabId="5" name="Name vs Performance"/>
    <pivotTable tabId="4" name="Name vs Salary"/>
    <pivotTable tabId="2" name="Average Salary by Department"/>
    <pivotTable tabId="3" name="2. Average Performance by Department"/>
    <pivotTable tabId="6" name="Department Distribution"/>
  </pivotTables>
  <data>
    <tabular pivotCacheId="1">
      <items count="5">
        <i x="0" s="1"/>
        <i x="4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6" name="Department Distribution"/>
    <pivotTable tabId="3" name="2. Average Performance by Department"/>
    <pivotTable tabId="2" name="Average Salary by Department"/>
    <pivotTable tabId="4" name="Name vs Salary"/>
    <pivotTable tabId="5" name="Name vs Performance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" caption="Department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" cache="Slicer_Name2" caption="Name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2" cache="Slicer_Name2" caption="Name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3" cache="Slicer_Department" caption="Department" rowHeight="22542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4" cache="Slicer_Department" caption="Department" rowHeight="225425"/>
  <slicer name="Name 5" cache="Slicer_Name2" caption="Name" rowHeight="225425"/>
</slicers>
</file>

<file path=xl/tables/table1.xml><?xml version="1.0" encoding="utf-8"?>
<table xmlns="http://schemas.openxmlformats.org/spreadsheetml/2006/main" id="1" name="emp_data" displayName="emp_data" ref="A1:G6" totalsRowShown="0">
  <autoFilter xmlns:etc="http://www.wps.cn/officeDocument/2017/etCustomData" ref="A1:G6" etc:filterBottomFollowUsedRange="0"/>
  <tableColumns count="7">
    <tableColumn id="1" name="Emp ID" dataDxfId="20"/>
    <tableColumn id="2" name="Name" dataDxfId="21"/>
    <tableColumn id="3" name="Department" dataDxfId="22"/>
    <tableColumn id="4" name="Salary" dataDxfId="23"/>
    <tableColumn id="5" name="Years Experience" dataDxfId="24"/>
    <tableColumn id="6" name=" Performance Score " dataDxfId="25"/>
    <tableColumn id="7" name="Performance Score" dataDxfId="26">
      <calculatedColumnFormula>F2/100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J1" sqref="J1"/>
    </sheetView>
  </sheetViews>
  <sheetFormatPr defaultColWidth="9.14285714285714" defaultRowHeight="15" outlineLevelRow="5"/>
  <cols>
    <col min="1" max="1" width="11.4285714285714" customWidth="1"/>
    <col min="2" max="2" width="10.2857142857143" customWidth="1"/>
    <col min="3" max="3" width="18.2857142857143" customWidth="1"/>
    <col min="4" max="4" width="16" style="12" customWidth="1"/>
    <col min="5" max="5" width="25.2857142857143" customWidth="1"/>
    <col min="6" max="6" width="28" style="13" hidden="1" customWidth="1"/>
    <col min="7" max="7" width="29.5714285714286" style="14" customWidth="1"/>
  </cols>
  <sheetData>
    <row r="1" ht="21" spans="1:10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7" t="s">
        <v>5</v>
      </c>
      <c r="G1" s="18" t="s">
        <v>6</v>
      </c>
      <c r="H1" s="19"/>
      <c r="J1" t="str" cm="1">
        <f t="array" ref="J1">INDEX(emp_data!B:B,MATCH(MAX(emp_data!D:D),emp_data!D:D,0))</f>
        <v>Hana</v>
      </c>
    </row>
    <row r="2" ht="18.75" spans="1:10">
      <c r="A2" s="20">
        <v>101</v>
      </c>
      <c r="B2" s="20" t="s">
        <v>7</v>
      </c>
      <c r="C2" s="20" t="s">
        <v>8</v>
      </c>
      <c r="D2" s="21">
        <v>12000</v>
      </c>
      <c r="E2" s="20">
        <v>3</v>
      </c>
      <c r="F2" s="22">
        <v>80</v>
      </c>
      <c r="G2" s="23">
        <f>F2/100</f>
        <v>0.8</v>
      </c>
    </row>
    <row r="3" ht="18.75" spans="1:10">
      <c r="A3" s="20">
        <v>102</v>
      </c>
      <c r="B3" s="20" t="s">
        <v>9</v>
      </c>
      <c r="C3" s="20" t="s">
        <v>10</v>
      </c>
      <c r="D3" s="21">
        <v>9000</v>
      </c>
      <c r="E3" s="20">
        <v>5</v>
      </c>
      <c r="F3" s="22">
        <v>88</v>
      </c>
      <c r="G3" s="23">
        <f>F3/100</f>
        <v>0.88</v>
      </c>
    </row>
    <row r="4" ht="18.75" spans="1:10">
      <c r="A4" s="20">
        <v>103</v>
      </c>
      <c r="B4" s="20" t="s">
        <v>11</v>
      </c>
      <c r="C4" s="20" t="s">
        <v>12</v>
      </c>
      <c r="D4" s="21">
        <v>15000</v>
      </c>
      <c r="E4" s="20">
        <v>7</v>
      </c>
      <c r="F4" s="22">
        <v>92</v>
      </c>
      <c r="G4" s="23">
        <f>F4/100</f>
        <v>0.92</v>
      </c>
    </row>
    <row r="5" ht="18.75" spans="1:10">
      <c r="A5" s="20">
        <v>104</v>
      </c>
      <c r="B5" s="20" t="s">
        <v>13</v>
      </c>
      <c r="C5" s="20" t="s">
        <v>8</v>
      </c>
      <c r="D5" s="21">
        <v>11000</v>
      </c>
      <c r="E5" s="20">
        <v>2</v>
      </c>
      <c r="F5" s="22">
        <v>75</v>
      </c>
      <c r="G5" s="23">
        <f>F5/100</f>
        <v>0.75</v>
      </c>
    </row>
    <row r="6" ht="18.75" spans="1:10">
      <c r="A6" s="20">
        <v>105</v>
      </c>
      <c r="B6" s="20" t="s">
        <v>14</v>
      </c>
      <c r="C6" s="20" t="s">
        <v>15</v>
      </c>
      <c r="D6" s="21">
        <v>10000</v>
      </c>
      <c r="E6" s="20">
        <v>4</v>
      </c>
      <c r="F6" s="22">
        <v>85</v>
      </c>
      <c r="G6" s="23">
        <f>F6/100</f>
        <v>0.85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G22" sqref="G22"/>
    </sheetView>
  </sheetViews>
  <sheetFormatPr defaultColWidth="9.14285714285714" defaultRowHeight="15" outlineLevelRow="5" outlineLevelCol="1"/>
  <cols>
    <col min="1" max="1" width="14.5714285714286"/>
    <col min="2" max="2" width="17.7142857142857" style="10"/>
  </cols>
  <sheetData>
    <row r="1" spans="1:2">
      <c r="A1" t="s">
        <v>2</v>
      </c>
      <c r="B1" s="11" t="s">
        <v>16</v>
      </c>
    </row>
    <row r="2" spans="1:2">
      <c r="A2" t="s">
        <v>12</v>
      </c>
      <c r="B2" s="11">
        <v>15000</v>
      </c>
    </row>
    <row r="3" spans="1:2">
      <c r="A3" t="s">
        <v>10</v>
      </c>
      <c r="B3" s="11">
        <v>9000</v>
      </c>
    </row>
    <row r="4" spans="1:2">
      <c r="A4" t="s">
        <v>8</v>
      </c>
      <c r="B4" s="11">
        <v>11500</v>
      </c>
    </row>
    <row r="5" spans="1:2">
      <c r="A5" t="s">
        <v>15</v>
      </c>
      <c r="B5" s="11">
        <v>10000</v>
      </c>
    </row>
    <row r="6" spans="1:2">
      <c r="A6" t="s">
        <v>17</v>
      </c>
      <c r="B6" s="11">
        <v>11400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opLeftCell="B1" workbookViewId="0">
      <selection activeCell="H17" sqref="H17"/>
    </sheetView>
  </sheetViews>
  <sheetFormatPr defaultColWidth="9.14285714285714" defaultRowHeight="15" outlineLevelRow="5" outlineLevelCol="1"/>
  <cols>
    <col min="1" max="1" width="14.5714285714286"/>
    <col min="2" max="2" width="31.5714285714286"/>
  </cols>
  <sheetData>
    <row r="1" spans="1:2">
      <c r="A1" t="s">
        <v>2</v>
      </c>
      <c r="B1" t="s">
        <v>18</v>
      </c>
    </row>
    <row r="2" spans="1:2">
      <c r="A2" t="s">
        <v>12</v>
      </c>
      <c r="B2">
        <v>92</v>
      </c>
    </row>
    <row r="3" spans="1:2">
      <c r="A3" t="s">
        <v>10</v>
      </c>
      <c r="B3">
        <v>88</v>
      </c>
    </row>
    <row r="4" spans="1:2">
      <c r="A4" t="s">
        <v>8</v>
      </c>
      <c r="B4">
        <v>77.5</v>
      </c>
    </row>
    <row r="5" spans="1:2">
      <c r="A5" t="s">
        <v>15</v>
      </c>
      <c r="B5">
        <v>85</v>
      </c>
    </row>
    <row r="6" spans="1:2">
      <c r="A6" t="s">
        <v>17</v>
      </c>
      <c r="B6">
        <v>84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G21" sqref="G21"/>
    </sheetView>
  </sheetViews>
  <sheetFormatPr defaultColWidth="9.14285714285714" defaultRowHeight="15" outlineLevelRow="7" outlineLevelCol="1"/>
  <cols>
    <col min="1" max="1" width="12.1428571428571"/>
    <col min="2" max="2" width="13.8571428571429"/>
  </cols>
  <sheetData>
    <row r="2" spans="1:2">
      <c r="A2" t="s">
        <v>1</v>
      </c>
      <c r="B2" t="s">
        <v>19</v>
      </c>
    </row>
    <row r="3" spans="1:2">
      <c r="A3" t="s">
        <v>7</v>
      </c>
      <c r="B3">
        <v>12000</v>
      </c>
    </row>
    <row r="4" spans="1:2">
      <c r="A4" t="s">
        <v>14</v>
      </c>
      <c r="B4">
        <v>10000</v>
      </c>
    </row>
    <row r="5" spans="1:2">
      <c r="A5" t="s">
        <v>11</v>
      </c>
      <c r="B5">
        <v>15000</v>
      </c>
    </row>
    <row r="6" spans="1:2">
      <c r="A6" t="s">
        <v>13</v>
      </c>
      <c r="B6">
        <v>11000</v>
      </c>
    </row>
    <row r="7" spans="1:2">
      <c r="A7" t="s">
        <v>9</v>
      </c>
      <c r="B7">
        <v>9000</v>
      </c>
    </row>
    <row r="8" spans="1:2">
      <c r="A8" t="s">
        <v>17</v>
      </c>
      <c r="B8">
        <v>57000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7" sqref="E7"/>
    </sheetView>
  </sheetViews>
  <sheetFormatPr defaultColWidth="9.14285714285714" defaultRowHeight="15" outlineLevelRow="6" outlineLevelCol="1"/>
  <cols>
    <col min="1" max="1" width="12.1428571428571"/>
    <col min="2" max="2" width="27.7142857142857"/>
  </cols>
  <sheetData>
    <row r="1" spans="1:2">
      <c r="A1" t="s">
        <v>1</v>
      </c>
      <c r="B1" t="s">
        <v>20</v>
      </c>
    </row>
    <row r="2" spans="1:2">
      <c r="A2" t="s">
        <v>7</v>
      </c>
      <c r="B2">
        <v>80</v>
      </c>
    </row>
    <row r="3" spans="1:2">
      <c r="A3" t="s">
        <v>14</v>
      </c>
      <c r="B3">
        <v>85</v>
      </c>
    </row>
    <row r="4" spans="1:2">
      <c r="A4" t="s">
        <v>11</v>
      </c>
      <c r="B4">
        <v>92</v>
      </c>
    </row>
    <row r="5" spans="1:2">
      <c r="A5" t="s">
        <v>13</v>
      </c>
      <c r="B5">
        <v>75</v>
      </c>
    </row>
    <row r="6" spans="1:2">
      <c r="A6" t="s">
        <v>9</v>
      </c>
      <c r="B6">
        <v>88</v>
      </c>
    </row>
    <row r="7" spans="1:2">
      <c r="A7" t="s">
        <v>17</v>
      </c>
      <c r="B7">
        <v>420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2" sqref="B2"/>
    </sheetView>
  </sheetViews>
  <sheetFormatPr defaultColWidth="9.14285714285714" defaultRowHeight="15" outlineLevelRow="5" outlineLevelCol="1"/>
  <cols>
    <col min="1" max="1" width="14.5714285714286"/>
    <col min="2" max="2" width="21.5714285714286"/>
  </cols>
  <sheetData>
    <row r="1" spans="1:2">
      <c r="A1" t="s">
        <v>2</v>
      </c>
      <c r="B1" t="s">
        <v>21</v>
      </c>
    </row>
    <row r="2" spans="1:2">
      <c r="A2" t="s">
        <v>12</v>
      </c>
      <c r="B2" s="8">
        <v>0.2</v>
      </c>
    </row>
    <row r="3" spans="1:2">
      <c r="A3" t="s">
        <v>10</v>
      </c>
      <c r="B3" s="8">
        <v>0.2</v>
      </c>
    </row>
    <row r="4" spans="1:2">
      <c r="A4" t="s">
        <v>8</v>
      </c>
      <c r="B4" s="8">
        <v>0.4</v>
      </c>
    </row>
    <row r="5" spans="1:2">
      <c r="A5" t="s">
        <v>15</v>
      </c>
      <c r="B5" s="8">
        <v>0.2</v>
      </c>
    </row>
    <row r="6" spans="1:2">
      <c r="A6" t="s">
        <v>17</v>
      </c>
      <c r="B6" s="9">
        <v>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topLeftCell="E19" workbookViewId="0">
      <selection activeCell="U41" sqref="U41"/>
    </sheetView>
  </sheetViews>
  <sheetFormatPr defaultColWidth="9.14285714285714" defaultRowHeight="15"/>
  <cols>
    <col min="1" max="1" width="48.7142857142857" customWidth="1"/>
    <col min="2" max="2" width="47.5714285714286" customWidth="1"/>
    <col min="4" max="4" width="38.1428571428571" customWidth="1"/>
    <col min="11" max="11" width="21.2857142857143" customWidth="1"/>
  </cols>
  <sheetData>
    <row r="1" ht="26.25" spans="1:11">
      <c r="K1" s="1" t="s">
        <v>22</v>
      </c>
    </row>
    <row r="3" ht="28.5" spans="1:11">
      <c r="A3" s="2" t="s">
        <v>23</v>
      </c>
      <c r="D3" s="2" t="s">
        <v>24</v>
      </c>
    </row>
    <row r="4" ht="31.5" spans="1:11">
      <c r="A4" s="3">
        <f>AVERAGE(emp_data!D:D)</f>
        <v>11400</v>
      </c>
      <c r="D4" s="3">
        <f>MAX(emp_data!D:D)</f>
        <v>15000</v>
      </c>
    </row>
    <row r="6" ht="28.5" spans="1:11">
      <c r="A6" s="4" t="s">
        <v>25</v>
      </c>
      <c r="D6" s="4" t="s">
        <v>26</v>
      </c>
    </row>
    <row r="7" ht="31.5" spans="1:11">
      <c r="A7" s="3">
        <f>MIN(emp_data!D:D)</f>
        <v>9000</v>
      </c>
      <c r="D7" s="5" t="str" cm="1">
        <f t="array" ref="D7">INDEX(emp_data!B:B,MATCH(MAX(emp_data!D:D),emp_data!D:D,0))</f>
        <v>Hana</v>
      </c>
    </row>
    <row r="9" ht="28.5" spans="1:11">
      <c r="B9" s="4" t="s">
        <v>27</v>
      </c>
    </row>
    <row r="10" ht="31.5" spans="1:11">
      <c r="B10" s="3">
        <f>MEDIAN(emp_data!D:D)</f>
        <v>11000</v>
      </c>
    </row>
    <row r="12" ht="28.5" spans="1:11">
      <c r="A12" s="4" t="s">
        <v>28</v>
      </c>
      <c r="D12" s="4" t="s">
        <v>29</v>
      </c>
    </row>
    <row r="13" ht="31.5" spans="1:11">
      <c r="A13" s="6">
        <f>AVERAGE(emp_data!G:G)</f>
        <v>0.84</v>
      </c>
      <c r="D13" s="6">
        <f>MAX(emp_data!G:G)</f>
        <v>0.92</v>
      </c>
    </row>
    <row r="15" ht="28.5" spans="1:11">
      <c r="A15" s="4" t="s">
        <v>30</v>
      </c>
      <c r="D15" s="4" t="s">
        <v>6</v>
      </c>
    </row>
    <row r="16" ht="31.5" spans="1:11">
      <c r="A16" s="6">
        <f>MIN(emp_data!G:G)</f>
        <v>0.75</v>
      </c>
      <c r="D16" s="7" t="str" cm="1">
        <f t="array" ref="D16">INDEX(emp_data!B:B,MATCH(MAX(emp_data!G:G),emp_data!G:G,0))</f>
        <v>Hana</v>
      </c>
    </row>
    <row r="18" ht="28.5" spans="2:2">
      <c r="B18" s="4" t="s">
        <v>31</v>
      </c>
    </row>
    <row r="19" ht="31.5" spans="2:2">
      <c r="B19" s="3">
        <f>MEDIAN(emp_data!D1:D6)</f>
        <v>11000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emp_data</vt:lpstr>
      <vt:lpstr>Average Salary by Department</vt:lpstr>
      <vt:lpstr> Average Performance by Depar</vt:lpstr>
      <vt:lpstr>Name vs Salary</vt:lpstr>
      <vt:lpstr>Name vs Performance</vt:lpstr>
      <vt:lpstr>Department Distribution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krkr</dc:creator>
  <cp:lastModifiedBy>krkr</cp:lastModifiedBy>
  <dcterms:created xsi:type="dcterms:W3CDTF">2026-04-24T21:30:00Z</dcterms:created>
  <dcterms:modified xsi:type="dcterms:W3CDTF">2026-04-26T16:57:33Z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EDCED6C133844FD18848F704D816F381_13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